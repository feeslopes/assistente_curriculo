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a" sheetId="1" state="visible" r:id="rId1"/>
    <sheet name="Premissas" sheetId="2" state="visible" r:id="rId2"/>
    <sheet name="Custo por geração" sheetId="3" state="visible" r:id="rId3"/>
    <sheet name="Cenários de uso" sheetId="4" state="visible" r:id="rId4"/>
    <sheet name="Teto mensal" sheetId="5" state="visible" r:id="rId5"/>
    <sheet name="Regeneração x modelo" sheetId="6" state="visible" r:id="rId6"/>
    <sheet name="LTV e CAC" sheetId="7" state="visible" r:id="rId7"/>
  </sheets>
  <definedNames>
    <definedName name="cambio">'Premissas'!$B$5</definedName>
    <definedName name="fator_pico">'Premissas'!$B$8</definedName>
    <definedName name="preco_mensal">'Premissas'!$B$15</definedName>
    <definedName name="preco_semanal">'Premissas'!$B$16</definedName>
    <definedName name="teto_mensal">'Premissas'!$B$17</definedName>
    <definedName name="teto_semanal">'Premissas'!$B$18</definedName>
    <definedName name="margem_alvo">'Premissas'!$B$19</definedName>
    <definedName name="taxa_pct">'Premissas'!$B$20</definedName>
    <definedName name="taxa_fixa">'Premissas'!$B$21</definedName>
    <definedName name="infra_mes">'Premissas'!$B$22</definedName>
    <definedName name="assinantes">'Premissas'!$B$23</definedName>
    <definedName name="vida_meses">'Premissas'!$B$24</definedName>
    <definedName name="sem_mes">'Premissas'!$B$25</definedName>
    <definedName name="regen_pro">'Premissas'!$B$40</definedName>
    <definedName name="regen_alav">'Premissas'!$B$41</definedName>
    <definedName name="regen_flash">'Premissas'!$B$42</definedName>
    <definedName name="custo_ger_hoje">'Custo por geração'!$G$10</definedName>
    <definedName name="custo_ger_alav">'Custo por geração'!$I$10</definedName>
    <definedName name="custo_ger_flash">'Custo por geração'!$K$10</definedName>
    <definedName name="onboarding">'Custo por geração'!$G$19</definedName>
    <definedName name="margem_tipico_mensal">'Cenários de uso'!$G$6</definedName>
    <definedName name="margem_teto_mensal_pct">'Cenários de uso'!$H$7</definedName>
    <definedName name="margem_tipico_pct">'Cenários de uso'!$H$6</definedName>
    <definedName name="margem_teto_semanal_pct">'Cenários de uso'!$H$15</definedName>
    <definedName name="margem_tipico_semanal">'Cenários de uso'!$G$14</definedName>
    <definedName name="teto_na_margem_mensal">'Teto mensal'!$B$13</definedName>
    <definedName name="teto_na_margem_semanal">'Teto mensal'!$D$13</definedName>
    <definedName name="regen_virada">'Regeneração x modelo'!$D$9</definedName>
    <definedName name="ltv_tipico_vida">'LTV e CAC'!$B$26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0.0%;(0.0%);&quot;-&quot;"/>
    <numFmt numFmtId="166" formatCode="0.000"/>
    <numFmt numFmtId="167" formatCode="&quot;R$&quot; #,##0.00;(&quot;R$&quot; #,##0.00);&quot;-&quot;"/>
    <numFmt numFmtId="168" formatCode="#,##0;(#,##0);&quot;-&quot;"/>
    <numFmt numFmtId="169" formatCode="&quot;R$&quot; #,##0.0000;(&quot;R$&quot; #,##0.0000);&quot;-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A33"/>
      </patternFill>
    </fill>
    <fill>
      <patternFill patternType="solid">
        <fgColor rgb="00FFFF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9" fontId="10" fillId="0" borderId="1" pivotButton="0" quotePrefix="0" xfId="0"/>
    <xf numFmtId="165" fontId="10" fillId="0" borderId="1" pivotButton="0" quotePrefix="0" xfId="0"/>
    <xf numFmtId="167" fontId="10" fillId="0" borderId="1" pivotButton="0" quotePrefix="0" xfId="0"/>
    <xf numFmtId="168" fontId="10" fillId="0" borderId="1" pivotButton="0" quotePrefix="0" xfId="0"/>
    <xf numFmtId="0" fontId="11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4" fontId="6" fillId="0" borderId="1" pivotButton="0" quotePrefix="0" xfId="0"/>
    <xf numFmtId="166" fontId="5" fillId="3" borderId="1" pivotButton="0" quotePrefix="0" xfId="0"/>
    <xf numFmtId="0" fontId="2" fillId="0" borderId="0" pivotButton="0" quotePrefix="0" xfId="0"/>
    <xf numFmtId="167" fontId="5" fillId="3" borderId="1" pivotButton="0" quotePrefix="0" xfId="0"/>
    <xf numFmtId="168" fontId="5" fillId="3" borderId="1" pivotButton="0" quotePrefix="0" xfId="0"/>
    <xf numFmtId="0" fontId="7" fillId="0" borderId="1" pivotButton="0" quotePrefix="0" xfId="0"/>
    <xf numFmtId="164" fontId="7" fillId="0" borderId="1" pivotButton="0" quotePrefix="0" xfId="0"/>
    <xf numFmtId="168" fontId="7" fillId="0" borderId="1" pivotButton="0" quotePrefix="0" xfId="0"/>
    <xf numFmtId="165" fontId="7" fillId="0" borderId="1" pivotButton="0" quotePrefix="0" xfId="0"/>
    <xf numFmtId="0" fontId="5" fillId="0" borderId="1" pivotButton="0" quotePrefix="0" xfId="0"/>
    <xf numFmtId="169" fontId="6" fillId="0" borderId="1" pivotButton="0" quotePrefix="0" xfId="0"/>
    <xf numFmtId="0" fontId="8" fillId="0" borderId="1" applyAlignment="1" pivotButton="0" quotePrefix="0" xfId="0">
      <alignment vertical="center" wrapText="1"/>
    </xf>
    <xf numFmtId="169" fontId="9" fillId="0" borderId="1" pivotButton="0" quotePrefix="0" xfId="0"/>
    <xf numFmtId="165" fontId="9" fillId="0" borderId="1" pivotButton="0" quotePrefix="0" xfId="0"/>
    <xf numFmtId="165" fontId="6" fillId="0" borderId="1" pivotButton="0" quotePrefix="0" xfId="0"/>
    <xf numFmtId="168" fontId="5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68" fontId="9" fillId="0" borderId="1" pivotButton="0" quotePrefix="0" xfId="0"/>
    <xf numFmtId="165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7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20" customWidth="1" min="3" max="3"/>
    <col width="70" customWidth="1" min="4" max="4"/>
  </cols>
  <sheetData>
    <row r="1">
      <c r="A1" s="1" t="inlineStr">
        <is>
          <t>Assistente Currículo: economics do plano pago</t>
        </is>
      </c>
    </row>
    <row r="2" ht="28" customHeight="1">
      <c r="A2" s="2" t="inlineStr">
        <is>
          <t>Resumo para decisão. Tudo aqui é fórmula e vem das outras abas. Para mudar um número, edite a aba Premissas.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Como ler</t>
        </is>
      </c>
    </row>
    <row r="5">
      <c r="A5" s="4" t="inlineStr">
        <is>
          <t>Custo por geração hoje (tudo em Pro)</t>
        </is>
      </c>
      <c r="B5" s="5">
        <f>custo_ger_hoje</f>
        <v/>
      </c>
      <c r="C5" s="4" t="inlineStr">
        <is>
          <t>R$ por geração</t>
        </is>
      </c>
      <c r="D5" s="4" t="inlineStr">
        <is>
          <t>Estimativa. Substituir por medição do log de uso.</t>
        </is>
      </c>
    </row>
    <row r="6">
      <c r="A6" s="4" t="inlineStr">
        <is>
          <t>Custo por geração com as alavancas</t>
        </is>
      </c>
      <c r="B6" s="5">
        <f>custo_ger_alav</f>
        <v/>
      </c>
      <c r="C6" s="4" t="inlineStr">
        <is>
          <t>R$ por geração</t>
        </is>
      </c>
      <c r="D6" s="4" t="inlineStr">
        <is>
          <t>Flash em análise e conferência, Pro na geração.</t>
        </is>
      </c>
    </row>
    <row r="7">
      <c r="A7" s="4" t="inlineStr">
        <is>
          <t>Redução de custo com as alavancas</t>
        </is>
      </c>
      <c r="B7" s="6">
        <f>'Custo por geração'!G12</f>
        <v/>
      </c>
      <c r="C7" s="4" t="inlineStr">
        <is>
          <t>%</t>
        </is>
      </c>
      <c r="D7" s="4" t="inlineStr">
        <is>
          <t>Só adotar depois que o eval mostrar que a qualidade se mantém.</t>
        </is>
      </c>
    </row>
    <row r="8">
      <c r="A8" s="4" t="inlineStr">
        <is>
          <t>Custo de onboarding por assinante</t>
        </is>
      </c>
      <c r="B8" s="7">
        <f>onboarding</f>
        <v/>
      </c>
      <c r="C8" s="4" t="inlineStr">
        <is>
          <t>R$ (uma vez)</t>
        </is>
      </c>
      <c r="D8" s="4" t="inlineStr">
        <is>
          <t>Entrevista, extração e leitura de CV.</t>
        </is>
      </c>
    </row>
    <row r="9">
      <c r="A9" s="4" t="inlineStr">
        <is>
          <t>Preço do plano mensal</t>
        </is>
      </c>
      <c r="B9" s="7">
        <f>preco_mensal</f>
        <v/>
      </c>
      <c r="C9" s="4" t="inlineStr">
        <is>
          <t>R$/mês</t>
        </is>
      </c>
      <c r="D9" s="4" t="inlineStr">
        <is>
          <t>Decisão: em torno de R$ 15.</t>
        </is>
      </c>
    </row>
    <row r="10">
      <c r="A10" s="4" t="inlineStr">
        <is>
          <t>Teto mensal adotado</t>
        </is>
      </c>
      <c r="B10" s="8">
        <f>teto_mensal</f>
        <v/>
      </c>
      <c r="C10" s="4" t="inlineStr">
        <is>
          <t>gerações/mês</t>
        </is>
      </c>
      <c r="D10" s="4" t="inlineStr">
        <is>
          <t>Aplicado em código (config.yaml).</t>
        </is>
      </c>
    </row>
    <row r="11">
      <c r="A11" s="4" t="inlineStr">
        <is>
          <t>Teto mensal que sustenta a margem alvo</t>
        </is>
      </c>
      <c r="B11" s="8">
        <f>teto_na_margem_mensal</f>
        <v/>
      </c>
      <c r="C11" s="4" t="inlineStr">
        <is>
          <t>gerações/mês</t>
        </is>
      </c>
      <c r="D11" s="4" t="inlineStr">
        <is>
          <t>Se for maior que o adotado, há folga para subir o teto.</t>
        </is>
      </c>
    </row>
    <row r="12">
      <c r="A12" s="4" t="inlineStr">
        <is>
          <t>Margem no perfil típico (mensal)</t>
        </is>
      </c>
      <c r="B12" s="6">
        <f>margem_tipico_pct</f>
        <v/>
      </c>
      <c r="C12" s="4" t="inlineStr">
        <is>
          <t>% da receita</t>
        </is>
      </c>
      <c r="D12" s="4" t="inlineStr">
        <is>
          <t>Perfil típico em Cenários de uso.</t>
        </is>
      </c>
    </row>
    <row r="13">
      <c r="A13" s="4" t="inlineStr">
        <is>
          <t>Margem no teto (mensal)</t>
        </is>
      </c>
      <c r="B13" s="6">
        <f>margem_teto_mensal_pct</f>
        <v/>
      </c>
      <c r="C13" s="4" t="inlineStr">
        <is>
          <t>% da receita</t>
        </is>
      </c>
      <c r="D13" s="4" t="inlineStr">
        <is>
          <t>Pior caso do plano mensal.</t>
        </is>
      </c>
    </row>
    <row r="14">
      <c r="A14" s="4" t="inlineStr">
        <is>
          <t>Gerações por mês em que o mensal deixa de dar lucro</t>
        </is>
      </c>
      <c r="B14" s="8">
        <f>'Cenários de uso'!B17</f>
        <v/>
      </c>
      <c r="C14" s="4" t="inlineStr">
        <is>
          <t>gerações/mês</t>
        </is>
      </c>
      <c r="D14" s="4" t="inlineStr">
        <is>
          <t>Acima disso, cada geração custa mais do que sobra.</t>
        </is>
      </c>
    </row>
    <row r="15">
      <c r="A15" s="4" t="inlineStr">
        <is>
          <t>Preço do plano semanal</t>
        </is>
      </c>
      <c r="B15" s="7">
        <f>preco_semanal</f>
        <v/>
      </c>
      <c r="C15" s="4" t="inlineStr">
        <is>
          <t>R$/semana</t>
        </is>
      </c>
      <c r="D15" s="4" t="inlineStr">
        <is>
          <t>Hipótese a testar.</t>
        </is>
      </c>
    </row>
    <row r="16">
      <c r="A16" s="4" t="inlineStr">
        <is>
          <t>Teto semanal adotado</t>
        </is>
      </c>
      <c r="B16" s="8">
        <f>teto_semanal</f>
        <v/>
      </c>
      <c r="C16" s="4" t="inlineStr">
        <is>
          <t>gerações/semana</t>
        </is>
      </c>
      <c r="D16" s="4" t="inlineStr">
        <is>
          <t>Aplicado em código.</t>
        </is>
      </c>
    </row>
    <row r="17">
      <c r="A17" s="4" t="inlineStr">
        <is>
          <t>Margem no teto (semanal)</t>
        </is>
      </c>
      <c r="B17" s="6">
        <f>margem_teto_semanal_pct</f>
        <v/>
      </c>
      <c r="C17" s="4" t="inlineStr">
        <is>
          <t>% da receita</t>
        </is>
      </c>
      <c r="D17" s="4" t="inlineStr">
        <is>
          <t>Pior caso do plano semanal.</t>
        </is>
      </c>
    </row>
    <row r="18">
      <c r="A18" s="4" t="inlineStr">
        <is>
          <t>Regeneração máxima do Flash em tudo para empatar com as alavancas</t>
        </is>
      </c>
      <c r="B18" s="6">
        <f>regen_virada</f>
        <v/>
      </c>
      <c r="C18" s="4" t="inlineStr">
        <is>
          <t>extras por currículo</t>
        </is>
      </c>
      <c r="D18" s="4" t="inlineStr">
        <is>
          <t>Acima disso, o Flash em tudo sai mais caro por currículo entregue.</t>
        </is>
      </c>
    </row>
    <row r="19">
      <c r="A19" s="4" t="inlineStr">
        <is>
          <t>LTV do assinante típico (vida média assumida)</t>
        </is>
      </c>
      <c r="B19" s="7">
        <f>ltv_tipico_vida</f>
        <v/>
      </c>
      <c r="C19" s="4" t="inlineStr">
        <is>
          <t>R$</t>
        </is>
      </c>
      <c r="D19" s="4" t="inlineStr">
        <is>
          <t>Margem recorrente do perfil típico x vida média da aba Premissas, menos onboarding.</t>
        </is>
      </c>
    </row>
    <row r="21">
      <c r="A21" s="9" t="inlineStr">
        <is>
          <t>Leituras</t>
        </is>
      </c>
    </row>
    <row r="22" ht="30" customHeight="1">
      <c r="A22" s="10" t="inlineStr">
        <is>
          <t>1. O custo de IA domina a conta: a saída do modelo Pro na geração e na correção pesa mais que tudo. Reduzir correções e regerações vale tanto quanto trocar de modelo.</t>
        </is>
      </c>
    </row>
    <row r="23" ht="30" customHeight="1">
      <c r="A23" s="10" t="inlineStr">
        <is>
          <t>2. O teto de uso é a defesa da margem. Sem teto, um assinante em volume alto deixa o plano no prejuízo.</t>
        </is>
      </c>
    </row>
    <row r="24" ht="30" customHeight="1">
      <c r="A24" s="10" t="inlineStr">
        <is>
          <t>3. Os números de tokens são estimativas. A primeira ação é rodar com o log de uso ligado e trocar as premissas por medição.</t>
        </is>
      </c>
    </row>
    <row r="25" ht="30" customHeight="1">
      <c r="A25" s="10" t="inlineStr">
        <is>
          <t>4. A retenção é curta por natureza (quem emprega, cancela). O LTV é pequeno, por isso o CAC precisa ser quase zero (indicação, comunidades).</t>
        </is>
      </c>
    </row>
    <row r="26" ht="30" customHeight="1">
      <c r="A26" s="10" t="inlineStr">
        <is>
          <t>5. O semanal é prêmio por flexibilidade: o mesmo uso custa o mesmo, mas a receita por semana é maior que a fração do mensal.</t>
        </is>
      </c>
    </row>
    <row r="28">
      <c r="A28" s="9" t="inlineStr">
        <is>
          <t>Legenda de cores</t>
        </is>
      </c>
    </row>
    <row r="29">
      <c r="A29" s="11" t="inlineStr">
        <is>
          <t>Azul com fundo amarelo: entrada chave para editar</t>
        </is>
      </c>
    </row>
    <row r="30">
      <c r="A30" s="12" t="inlineStr">
        <is>
          <t>Azul sem fundo: entrada secundária</t>
        </is>
      </c>
    </row>
    <row r="31">
      <c r="A31" s="13" t="inlineStr">
        <is>
          <t>Preto: fórmula</t>
        </is>
      </c>
    </row>
    <row r="32">
      <c r="A32" s="14" t="inlineStr">
        <is>
          <t>Verde: vínculo com outra aba</t>
        </is>
      </c>
    </row>
  </sheetData>
  <mergeCells count="6">
    <mergeCell ref="A23:D23"/>
    <mergeCell ref="A22:D22"/>
    <mergeCell ref="A26:D26"/>
    <mergeCell ref="A25:D25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8" customWidth="1" min="5" max="5"/>
    <col width="70" customWidth="1" min="6" max="6"/>
  </cols>
  <sheetData>
    <row r="1">
      <c r="A1" s="1" t="inlineStr">
        <is>
          <t>Premissas (única aba de entrada)</t>
        </is>
      </c>
    </row>
    <row r="2" ht="42" customHeight="1">
      <c r="A2" s="2" t="inlineStr">
        <is>
          <t>Células azuis com fundo amarelo são entradas para editar. Todo o resto do arquivo é fórmula e recalcula. Estimativas de tokens vêm do tamanho dos prompts e dos logs locais; substituir por medição (log com campo 'uso') assim que houver.</t>
        </is>
      </c>
    </row>
    <row r="4">
      <c r="A4" s="3" t="inlineStr">
        <is>
          <t>Câmbio e horário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Fonte ou nota</t>
        </is>
      </c>
    </row>
    <row r="5">
      <c r="A5" s="4" t="inlineStr">
        <is>
          <t>Câmbio</t>
        </is>
      </c>
      <c r="B5" s="15" t="n">
        <v>5.5</v>
      </c>
      <c r="C5" s="4" t="inlineStr">
        <is>
          <t>R$ por US$</t>
        </is>
      </c>
      <c r="D5" s="4" t="inlineStr">
        <is>
          <t>Placeholder: confirmar a cotação do dia.</t>
        </is>
      </c>
    </row>
    <row r="6">
      <c r="A6" s="4" t="inlineStr">
        <is>
          <t>Multiplicador de preço no horário de pico</t>
        </is>
      </c>
      <c r="B6" s="15" t="n">
        <v>2</v>
      </c>
      <c r="C6" s="4" t="inlineStr">
        <is>
          <t>x</t>
        </is>
      </c>
      <c r="D6" s="4" t="inlineStr">
        <is>
          <t>DeepSeek: pico custa o dobro (api-docs.deepseek.com/quick_start/pricing, lido em 26/10/2026).</t>
        </is>
      </c>
    </row>
    <row r="7">
      <c r="A7" s="4" t="inlineStr">
        <is>
          <t>Parcela do uso em horário de pico</t>
        </is>
      </c>
      <c r="B7" s="16" t="n">
        <v>0.15</v>
      </c>
      <c r="C7" s="4" t="inlineStr">
        <is>
          <t>% das chamadas</t>
        </is>
      </c>
      <c r="D7" s="4" t="inlineStr">
        <is>
          <t>Pico: 01h-04h e 06h-10h UTC, seg-sex (22h-01h e 03h-07h em Brasília). Estimativa: pouco uso nesses horários.</t>
        </is>
      </c>
    </row>
    <row r="8">
      <c r="A8" s="4" t="inlineStr">
        <is>
          <t>Fator médio de preço (pico e fora do pico)</t>
        </is>
      </c>
      <c r="B8" s="17">
        <f>1+(B6-1)*B7</f>
        <v/>
      </c>
      <c r="C8" s="4" t="inlineStr">
        <is>
          <t>x</t>
        </is>
      </c>
      <c r="D8" s="4" t="inlineStr">
        <is>
          <t>Fórmula: multiplica o custo fora do pico.</t>
        </is>
      </c>
    </row>
    <row r="10">
      <c r="A10" s="3" t="inlineStr">
        <is>
          <t>Modelo (preço por 1M de tokens, US$, fora do pico)</t>
        </is>
      </c>
      <c r="B10" s="3" t="inlineStr">
        <is>
          <t>Entrada cache hit</t>
        </is>
      </c>
      <c r="C10" s="3" t="inlineStr">
        <is>
          <t>Entrada cache miss</t>
        </is>
      </c>
      <c r="D10" s="3" t="inlineStr">
        <is>
          <t>Saída</t>
        </is>
      </c>
      <c r="E10" s="3" t="inlineStr">
        <is>
          <t>Fonte</t>
        </is>
      </c>
    </row>
    <row r="11">
      <c r="A11" s="4" t="inlineStr">
        <is>
          <t>pro</t>
        </is>
      </c>
      <c r="B11" s="18" t="n">
        <v>0.022</v>
      </c>
      <c r="C11" s="18" t="n">
        <v>0.66</v>
      </c>
      <c r="D11" s="18" t="n">
        <v>1.98</v>
      </c>
      <c r="E11" s="4" t="inlineStr">
        <is>
          <t>deepseek-v4-pro</t>
        </is>
      </c>
      <c r="F11" s="19" t="inlineStr">
        <is>
          <t>api-docs.deepseek.com/quick_start/pricing, lido em 26/10/2026</t>
        </is>
      </c>
    </row>
    <row r="12">
      <c r="A12" s="4" t="inlineStr">
        <is>
          <t>flash</t>
        </is>
      </c>
      <c r="B12" s="18" t="n">
        <v>0.003</v>
      </c>
      <c r="C12" s="18" t="n">
        <v>0.15</v>
      </c>
      <c r="D12" s="18" t="n">
        <v>0.6</v>
      </c>
      <c r="E12" s="4" t="inlineStr">
        <is>
          <t>deepseek-flash</t>
        </is>
      </c>
    </row>
    <row r="14">
      <c r="A14" s="3" t="inlineStr">
        <is>
          <t>Planos e custos fixos</t>
        </is>
      </c>
      <c r="B14" s="3" t="inlineStr">
        <is>
          <t>Valor</t>
        </is>
      </c>
      <c r="C14" s="3" t="inlineStr">
        <is>
          <t>Unidade</t>
        </is>
      </c>
      <c r="D14" s="3" t="inlineStr">
        <is>
          <t>Fonte ou nota</t>
        </is>
      </c>
    </row>
    <row r="15">
      <c r="A15" s="4" t="inlineStr">
        <is>
          <t>Preço do plano mensal</t>
        </is>
      </c>
      <c r="B15" s="20" t="n">
        <v>15</v>
      </c>
      <c r="C15" s="4" t="inlineStr">
        <is>
          <t>R$</t>
        </is>
      </c>
      <c r="D15" s="4" t="inlineStr">
        <is>
          <t>Decisão do Felipe: em torno de R$ 15. A descoberta de preço pode mudar.</t>
        </is>
      </c>
    </row>
    <row r="16">
      <c r="A16" s="4" t="inlineStr">
        <is>
          <t>Preço do plano semanal</t>
        </is>
      </c>
      <c r="B16" s="20" t="n">
        <v>7</v>
      </c>
      <c r="C16" s="4" t="inlineStr">
        <is>
          <t>R$</t>
        </is>
      </c>
      <c r="D16" s="4" t="inlineStr">
        <is>
          <t>Hipótese (equivale a ~R$ 30 por mês). Testar com os interessados.</t>
        </is>
      </c>
    </row>
    <row r="17">
      <c r="A17" s="4" t="inlineStr">
        <is>
          <t>Teto de gerações por mês</t>
        </is>
      </c>
      <c r="B17" s="21" t="n">
        <v>60</v>
      </c>
      <c r="C17" s="4" t="inlineStr">
        <is>
          <t>gerações</t>
        </is>
      </c>
      <c r="D17" s="4" t="inlineStr">
        <is>
          <t>config.yaml: planos.mensal.geracoes. Regeração conta como geração.</t>
        </is>
      </c>
    </row>
    <row r="18">
      <c r="A18" s="4" t="inlineStr">
        <is>
          <t>Teto de gerações por semana</t>
        </is>
      </c>
      <c r="B18" s="21" t="n">
        <v>15</v>
      </c>
      <c r="C18" s="4" t="inlineStr">
        <is>
          <t>gerações</t>
        </is>
      </c>
      <c r="D18" s="4" t="inlineStr">
        <is>
          <t>config.yaml: planos.semanal.geracoes.</t>
        </is>
      </c>
    </row>
    <row r="19">
      <c r="A19" s="4" t="inlineStr">
        <is>
          <t>Margem alvo para definir o teto</t>
        </is>
      </c>
      <c r="B19" s="16" t="n">
        <v>0.4</v>
      </c>
      <c r="C19" s="4" t="inlineStr">
        <is>
          <t>% da receita</t>
        </is>
      </c>
      <c r="D19" s="4" t="inlineStr">
        <is>
          <t>Escolha: 40% no teto de uso.</t>
        </is>
      </c>
    </row>
    <row r="20">
      <c r="A20" s="4" t="inlineStr">
        <is>
          <t>Taxa de pagamento (% do valor)</t>
        </is>
      </c>
      <c r="B20" s="16" t="n">
        <v>0</v>
      </c>
      <c r="C20" s="4" t="inlineStr">
        <is>
          <t>%</t>
        </is>
      </c>
      <c r="D20" s="4" t="inlineStr">
        <is>
          <t>Pix direto na conta do Felipe, sem gateway.</t>
        </is>
      </c>
    </row>
    <row r="21">
      <c r="A21" s="4" t="inlineStr">
        <is>
          <t>Taxa fixa por cobrança</t>
        </is>
      </c>
      <c r="B21" s="20" t="n">
        <v>0</v>
      </c>
      <c r="C21" s="4" t="inlineStr">
        <is>
          <t>R$</t>
        </is>
      </c>
      <c r="D21" s="4" t="inlineStr">
        <is>
          <t>Idem.</t>
        </is>
      </c>
    </row>
    <row r="22">
      <c r="A22" s="4" t="inlineStr">
        <is>
          <t>Custo fixo mensal de infraestrutura</t>
        </is>
      </c>
      <c r="B22" s="20" t="n">
        <v>40</v>
      </c>
      <c r="C22" s="4" t="inlineStr">
        <is>
          <t>R$/mês</t>
        </is>
      </c>
      <c r="D22" s="4" t="inlineStr">
        <is>
          <t>Placeholder: VPS e domínio. Confirmar.</t>
        </is>
      </c>
    </row>
    <row r="23">
      <c r="A23" s="4" t="inlineStr">
        <is>
          <t>Assinantes ativos para ratear a infraestrutura</t>
        </is>
      </c>
      <c r="B23" s="21" t="n">
        <v>20</v>
      </c>
      <c r="C23" s="4" t="inlineStr">
        <is>
          <t>assinantes</t>
        </is>
      </c>
      <c r="D23" s="4" t="inlineStr">
        <is>
          <t>Hipótese do primeiro mês de operação.</t>
        </is>
      </c>
    </row>
    <row r="24">
      <c r="A24" s="4" t="inlineStr">
        <is>
          <t>Vida média do assinante</t>
        </is>
      </c>
      <c r="B24" s="15" t="n">
        <v>3</v>
      </c>
      <c r="C24" s="4" t="inlineStr">
        <is>
          <t>meses</t>
        </is>
      </c>
      <c r="D24" s="4" t="inlineStr">
        <is>
          <t>Hipótese: quem consegue emprego cancela (2 a 4 meses).</t>
        </is>
      </c>
    </row>
    <row r="25">
      <c r="A25" s="4" t="inlineStr">
        <is>
          <t>Semanas por mês</t>
        </is>
      </c>
      <c r="B25" s="15" t="n">
        <v>4.33</v>
      </c>
      <c r="C25" s="4" t="inlineStr">
        <is>
          <t>semanas</t>
        </is>
      </c>
      <c r="D25" s="4" t="inlineStr">
        <is>
          <t>Constante.</t>
        </is>
      </c>
    </row>
    <row r="27">
      <c r="A27" s="3" t="inlineStr">
        <is>
          <t>Etapas de uma geração de currículo</t>
        </is>
      </c>
      <c r="B27" s="3" t="inlineStr">
        <is>
          <t>Chamadas por geração</t>
        </is>
      </c>
      <c r="C27" s="3" t="inlineStr">
        <is>
          <t>Tokens de entrada</t>
        </is>
      </c>
      <c r="D27" s="3" t="inlineStr">
        <is>
          <t>Tokens de saída</t>
        </is>
      </c>
      <c r="E27" s="3" t="inlineStr">
        <is>
          <t>% de entrada em cache</t>
        </is>
      </c>
      <c r="F27" s="3" t="inlineStr">
        <is>
          <t>Observação</t>
        </is>
      </c>
    </row>
    <row r="28">
      <c r="A28" s="4" t="inlineStr">
        <is>
          <t>analisador</t>
        </is>
      </c>
      <c r="B28" s="15" t="n">
        <v>1</v>
      </c>
      <c r="C28" s="21" t="n">
        <v>5000</v>
      </c>
      <c r="D28" s="21" t="n">
        <v>1000</v>
      </c>
      <c r="E28" s="16" t="n">
        <v>0.3</v>
      </c>
      <c r="F28" s="4" t="inlineStr">
        <is>
          <t>Vaga + base confirmada. Saída: JSON da análise.</t>
        </is>
      </c>
    </row>
    <row r="29">
      <c r="A29" s="4" t="inlineStr">
        <is>
          <t>verificador (termos duvidosos)</t>
        </is>
      </c>
      <c r="B29" s="15" t="n">
        <v>1</v>
      </c>
      <c r="C29" s="21" t="n">
        <v>3000</v>
      </c>
      <c r="D29" s="21" t="n">
        <v>500</v>
      </c>
      <c r="E29" s="16" t="n">
        <v>0.3</v>
      </c>
      <c r="F29" s="4" t="inlineStr">
        <is>
          <t>tailor.julgar_termos usa o rótulo 'verificador'.</t>
        </is>
      </c>
    </row>
    <row r="30">
      <c r="A30" s="4" t="inlineStr">
        <is>
          <t>gerador</t>
        </is>
      </c>
      <c r="B30" s="15" t="n">
        <v>1</v>
      </c>
      <c r="C30" s="21" t="n">
        <v>9000</v>
      </c>
      <c r="D30" s="21" t="n">
        <v>4500</v>
      </c>
      <c r="E30" s="16" t="n">
        <v>0.35</v>
      </c>
      <c r="F30" s="4" t="inlineStr">
        <is>
          <t>Prompt de sistema (~12 KB) + vaga + análise + base. Saída ~13 a 16 mil caracteres (logs).</t>
        </is>
      </c>
    </row>
    <row r="31">
      <c r="A31" s="4" t="inlineStr">
        <is>
          <t>gerador (correção)</t>
        </is>
      </c>
      <c r="B31" s="15" t="n">
        <v>0.3</v>
      </c>
      <c r="C31" s="21" t="n">
        <v>10000</v>
      </c>
      <c r="D31" s="21" t="n">
        <v>5000</v>
      </c>
      <c r="E31" s="16" t="n">
        <v>0.35</v>
      </c>
      <c r="F31" s="4" t="inlineStr">
        <is>
          <t>Até 2 correções por tamanho, nota ou plano; 0,3 é a frequência média assumida.</t>
        </is>
      </c>
    </row>
    <row r="32">
      <c r="A32" s="4" t="inlineStr">
        <is>
          <t>verificador (final)</t>
        </is>
      </c>
      <c r="B32" s="15" t="n">
        <v>1</v>
      </c>
      <c r="C32" s="21" t="n">
        <v>4000</v>
      </c>
      <c r="D32" s="21" t="n">
        <v>1500</v>
      </c>
      <c r="E32" s="16" t="n">
        <v>0.3</v>
      </c>
      <c r="F32" s="4" t="inlineStr">
        <is>
          <t>Fiscal por IA sobre o texto gerado.</t>
        </is>
      </c>
    </row>
    <row r="34">
      <c r="A34" s="3" t="inlineStr">
        <is>
          <t>Onboarding (uma vez por assinante, sempre em Pro)</t>
        </is>
      </c>
      <c r="B34" s="3" t="inlineStr">
        <is>
          <t>Chamadas</t>
        </is>
      </c>
      <c r="C34" s="3" t="inlineStr">
        <is>
          <t>Tokens de entrada</t>
        </is>
      </c>
      <c r="D34" s="3" t="inlineStr">
        <is>
          <t>Tokens de saída</t>
        </is>
      </c>
      <c r="E34" s="3" t="inlineStr">
        <is>
          <t>% de entrada em cache</t>
        </is>
      </c>
      <c r="F34" s="3" t="inlineStr">
        <is>
          <t>Observação</t>
        </is>
      </c>
    </row>
    <row r="35">
      <c r="A35" s="4" t="inlineStr">
        <is>
          <t>entrevista (cerca de 12 turnos)</t>
        </is>
      </c>
      <c r="B35" s="15" t="n">
        <v>1</v>
      </c>
      <c r="C35" s="21" t="n">
        <v>60000</v>
      </c>
      <c r="D35" s="21" t="n">
        <v>1500</v>
      </c>
      <c r="E35" s="16" t="n">
        <v>0.5</v>
      </c>
      <c r="F35" s="4" t="inlineStr">
        <is>
          <t>Contexto cresce a cada turno: soma das entradas. Saídas curtas.</t>
        </is>
      </c>
    </row>
    <row r="36">
      <c r="A36" s="4" t="inlineStr">
        <is>
          <t>extração da conversa</t>
        </is>
      </c>
      <c r="B36" s="15" t="n">
        <v>1</v>
      </c>
      <c r="C36" s="21" t="n">
        <v>6000</v>
      </c>
      <c r="D36" s="21" t="n">
        <v>3000</v>
      </c>
      <c r="E36" s="16" t="n">
        <v>0.3</v>
      </c>
      <c r="F36" s="4" t="inlineStr">
        <is>
          <t>interview.extrair_da_conversa.</t>
        </is>
      </c>
    </row>
    <row r="37">
      <c r="A37" s="4" t="inlineStr">
        <is>
          <t>leitura de currículo importado</t>
        </is>
      </c>
      <c r="B37" s="15" t="n">
        <v>1</v>
      </c>
      <c r="C37" s="21" t="n">
        <v>4000</v>
      </c>
      <c r="D37" s="21" t="n">
        <v>3000</v>
      </c>
      <c r="E37" s="16" t="n">
        <v>0.3</v>
      </c>
      <c r="F37" s="4" t="inlineStr">
        <is>
          <t>Opcional; entra na conta como estimativa conservadora.</t>
        </is>
      </c>
    </row>
    <row r="39">
      <c r="A39" s="3" t="inlineStr">
        <is>
          <t>Taxa de regeneração (gerações extras por currículo entregue)</t>
        </is>
      </c>
      <c r="B39" s="3" t="inlineStr">
        <is>
          <t>Valor</t>
        </is>
      </c>
      <c r="C39" s="3" t="inlineStr">
        <is>
          <t>Unidade</t>
        </is>
      </c>
      <c r="D39" s="3" t="inlineStr">
        <is>
          <t>Nota</t>
        </is>
      </c>
    </row>
    <row r="40">
      <c r="A40" s="4" t="inlineStr">
        <is>
          <t>Tudo em Pro (hoje)</t>
        </is>
      </c>
      <c r="B40" s="16" t="n">
        <v>0.2</v>
      </c>
      <c r="C40" s="4" t="inlineStr">
        <is>
          <t>extras por currículo</t>
        </is>
      </c>
      <c r="D40" s="4" t="inlineStr">
        <is>
          <t>Hipótese: medir nos evals (n_correcoes e regerações dos usuários).</t>
        </is>
      </c>
    </row>
    <row r="41">
      <c r="A41" s="4" t="inlineStr">
        <is>
          <t>Com alavancas (Flash em análise e conferência)</t>
        </is>
      </c>
      <c r="B41" s="16" t="n">
        <v>0.3</v>
      </c>
      <c r="C41" s="4" t="inlineStr">
        <is>
          <t>extras por currículo</t>
        </is>
      </c>
      <c r="D41" s="4" t="inlineStr">
        <is>
          <t>Hipótese: Flash nas etapas simples pode piorar um pouco a primeira geração.</t>
        </is>
      </c>
    </row>
    <row r="42">
      <c r="A42" s="4" t="inlineStr">
        <is>
          <t>Flash em tudo</t>
        </is>
      </c>
      <c r="B42" s="16" t="n">
        <v>0.8</v>
      </c>
      <c r="C42" s="4" t="inlineStr">
        <is>
          <t>extras por currículo</t>
        </is>
      </c>
      <c r="D42" s="4" t="inlineStr">
        <is>
          <t>Hipótese: modelo mais fraco gera mais correções e mais regerações.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4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</cols>
  <sheetData>
    <row r="1">
      <c r="A1" s="1" t="inlineStr">
        <is>
          <t>Custo por geração de currículo e de onboarding</t>
        </is>
      </c>
    </row>
    <row r="2" ht="36" customHeight="1">
      <c r="A2" s="2" t="inlineStr">
        <is>
          <t>Fórmula por etapa: chamadas x (entrada x (hit x preço hit + (1 - hit) x preço miss) + saída x preço saída) / 1.000.000 x fator de pico x câmbio. Coluna de modelo é entrada (pro ou flash).</t>
        </is>
      </c>
    </row>
    <row r="4" ht="32" customHeight="1">
      <c r="A4" s="3" t="inlineStr">
        <is>
          <t>Etapa</t>
        </is>
      </c>
      <c r="B4" s="3" t="inlineStr">
        <is>
          <t>Chamadas</t>
        </is>
      </c>
      <c r="C4" s="3" t="inlineStr">
        <is>
          <t>Tokens de entrada</t>
        </is>
      </c>
      <c r="D4" s="3" t="inlineStr">
        <is>
          <t>Tokens de saída</t>
        </is>
      </c>
      <c r="E4" s="3" t="inlineStr">
        <is>
          <t>% cache</t>
        </is>
      </c>
      <c r="F4" s="3" t="inlineStr">
        <is>
          <t>Modelo hoje</t>
        </is>
      </c>
      <c r="G4" s="3" t="inlineStr">
        <is>
          <t>Custo hoje (R$)</t>
        </is>
      </c>
      <c r="H4" s="3" t="inlineStr">
        <is>
          <t>Modelo com alavancas</t>
        </is>
      </c>
      <c r="I4" s="3" t="inlineStr">
        <is>
          <t>Custo com alavancas (R$)</t>
        </is>
      </c>
      <c r="J4" s="3" t="inlineStr">
        <is>
          <t>Modelo Flash em tudo</t>
        </is>
      </c>
      <c r="K4" s="3" t="inlineStr">
        <is>
          <t>Custo Flash em tudo (R$)</t>
        </is>
      </c>
    </row>
    <row r="5">
      <c r="A5" s="22">
        <f>Premissas!A28</f>
        <v/>
      </c>
      <c r="B5" s="23">
        <f>Premissas!B28</f>
        <v/>
      </c>
      <c r="C5" s="24">
        <f>Premissas!C28</f>
        <v/>
      </c>
      <c r="D5" s="24">
        <f>Premissas!D28</f>
        <v/>
      </c>
      <c r="E5" s="25">
        <f>Premissas!E28</f>
        <v/>
      </c>
      <c r="F5" s="26" t="inlineStr">
        <is>
          <t>pro</t>
        </is>
      </c>
      <c r="G5" s="27">
        <f>B5*(C5*(E5*INDEX(Premissas!$B$11:$B$12,MATCH(F5,Premissas!$A$11:$A$12,0))+(1-E5)*INDEX(Premissas!$C$11:$C$12,MATCH(F5,Premissas!$A$11:$A$12,0)))+D5*INDEX(Premissas!$D$11:$D$12,MATCH(F5,Premissas!$A$11:$A$12,0)))/1000000*fator_pico*cambio</f>
        <v/>
      </c>
      <c r="H5" s="26" t="inlineStr">
        <is>
          <t>flash</t>
        </is>
      </c>
      <c r="I5" s="27">
        <f>B5*(C5*(E5*INDEX(Premissas!$B$11:$B$12,MATCH(H5,Premissas!$A$11:$A$12,0))+(1-E5)*INDEX(Premissas!$C$11:$C$12,MATCH(H5,Premissas!$A$11:$A$12,0)))+D5*INDEX(Premissas!$D$11:$D$12,MATCH(H5,Premissas!$A$11:$A$12,0)))/1000000*fator_pico*cambio</f>
        <v/>
      </c>
      <c r="J5" s="4" t="inlineStr">
        <is>
          <t>flash</t>
        </is>
      </c>
      <c r="K5" s="27">
        <f>B5*(C5*(E5*INDEX(Premissas!$B$11:$B$12,MATCH(J5,Premissas!$A$11:$A$12,0))+(1-E5)*INDEX(Premissas!$C$11:$C$12,MATCH(J5,Premissas!$A$11:$A$12,0)))+D5*INDEX(Premissas!$D$11:$D$12,MATCH(J5,Premissas!$A$11:$A$12,0)))/1000000*fator_pico*cambio</f>
        <v/>
      </c>
    </row>
    <row r="6">
      <c r="A6" s="22">
        <f>Premissas!A29</f>
        <v/>
      </c>
      <c r="B6" s="23">
        <f>Premissas!B29</f>
        <v/>
      </c>
      <c r="C6" s="24">
        <f>Premissas!C29</f>
        <v/>
      </c>
      <c r="D6" s="24">
        <f>Premissas!D29</f>
        <v/>
      </c>
      <c r="E6" s="25">
        <f>Premissas!E29</f>
        <v/>
      </c>
      <c r="F6" s="26" t="inlineStr">
        <is>
          <t>pro</t>
        </is>
      </c>
      <c r="G6" s="27">
        <f>B6*(C6*(E6*INDEX(Premissas!$B$11:$B$12,MATCH(F6,Premissas!$A$11:$A$12,0))+(1-E6)*INDEX(Premissas!$C$11:$C$12,MATCH(F6,Premissas!$A$11:$A$12,0)))+D6*INDEX(Premissas!$D$11:$D$12,MATCH(F6,Premissas!$A$11:$A$12,0)))/1000000*fator_pico*cambio</f>
        <v/>
      </c>
      <c r="H6" s="26" t="inlineStr">
        <is>
          <t>flash</t>
        </is>
      </c>
      <c r="I6" s="27">
        <f>B6*(C6*(E6*INDEX(Premissas!$B$11:$B$12,MATCH(H6,Premissas!$A$11:$A$12,0))+(1-E6)*INDEX(Premissas!$C$11:$C$12,MATCH(H6,Premissas!$A$11:$A$12,0)))+D6*INDEX(Premissas!$D$11:$D$12,MATCH(H6,Premissas!$A$11:$A$12,0)))/1000000*fator_pico*cambio</f>
        <v/>
      </c>
      <c r="J6" s="4" t="inlineStr">
        <is>
          <t>flash</t>
        </is>
      </c>
      <c r="K6" s="27">
        <f>B6*(C6*(E6*INDEX(Premissas!$B$11:$B$12,MATCH(J6,Premissas!$A$11:$A$12,0))+(1-E6)*INDEX(Premissas!$C$11:$C$12,MATCH(J6,Premissas!$A$11:$A$12,0)))+D6*INDEX(Premissas!$D$11:$D$12,MATCH(J6,Premissas!$A$11:$A$12,0)))/1000000*fator_pico*cambio</f>
        <v/>
      </c>
    </row>
    <row r="7">
      <c r="A7" s="22">
        <f>Premissas!A30</f>
        <v/>
      </c>
      <c r="B7" s="23">
        <f>Premissas!B30</f>
        <v/>
      </c>
      <c r="C7" s="24">
        <f>Premissas!C30</f>
        <v/>
      </c>
      <c r="D7" s="24">
        <f>Premissas!D30</f>
        <v/>
      </c>
      <c r="E7" s="25">
        <f>Premissas!E30</f>
        <v/>
      </c>
      <c r="F7" s="26" t="inlineStr">
        <is>
          <t>pro</t>
        </is>
      </c>
      <c r="G7" s="27">
        <f>B7*(C7*(E7*INDEX(Premissas!$B$11:$B$12,MATCH(F7,Premissas!$A$11:$A$12,0))+(1-E7)*INDEX(Premissas!$C$11:$C$12,MATCH(F7,Premissas!$A$11:$A$12,0)))+D7*INDEX(Premissas!$D$11:$D$12,MATCH(F7,Premissas!$A$11:$A$12,0)))/1000000*fator_pico*cambio</f>
        <v/>
      </c>
      <c r="H7" s="26" t="inlineStr">
        <is>
          <t>pro</t>
        </is>
      </c>
      <c r="I7" s="27">
        <f>B7*(C7*(E7*INDEX(Premissas!$B$11:$B$12,MATCH(H7,Premissas!$A$11:$A$12,0))+(1-E7)*INDEX(Premissas!$C$11:$C$12,MATCH(H7,Premissas!$A$11:$A$12,0)))+D7*INDEX(Premissas!$D$11:$D$12,MATCH(H7,Premissas!$A$11:$A$12,0)))/1000000*fator_pico*cambio</f>
        <v/>
      </c>
      <c r="J7" s="4" t="inlineStr">
        <is>
          <t>flash</t>
        </is>
      </c>
      <c r="K7" s="27">
        <f>B7*(C7*(E7*INDEX(Premissas!$B$11:$B$12,MATCH(J7,Premissas!$A$11:$A$12,0))+(1-E7)*INDEX(Premissas!$C$11:$C$12,MATCH(J7,Premissas!$A$11:$A$12,0)))+D7*INDEX(Premissas!$D$11:$D$12,MATCH(J7,Premissas!$A$11:$A$12,0)))/1000000*fator_pico*cambio</f>
        <v/>
      </c>
    </row>
    <row r="8">
      <c r="A8" s="22">
        <f>Premissas!A31</f>
        <v/>
      </c>
      <c r="B8" s="23">
        <f>Premissas!B31</f>
        <v/>
      </c>
      <c r="C8" s="24">
        <f>Premissas!C31</f>
        <v/>
      </c>
      <c r="D8" s="24">
        <f>Premissas!D31</f>
        <v/>
      </c>
      <c r="E8" s="25">
        <f>Premissas!E31</f>
        <v/>
      </c>
      <c r="F8" s="26" t="inlineStr">
        <is>
          <t>pro</t>
        </is>
      </c>
      <c r="G8" s="27">
        <f>B8*(C8*(E8*INDEX(Premissas!$B$11:$B$12,MATCH(F8,Premissas!$A$11:$A$12,0))+(1-E8)*INDEX(Premissas!$C$11:$C$12,MATCH(F8,Premissas!$A$11:$A$12,0)))+D8*INDEX(Premissas!$D$11:$D$12,MATCH(F8,Premissas!$A$11:$A$12,0)))/1000000*fator_pico*cambio</f>
        <v/>
      </c>
      <c r="H8" s="26" t="inlineStr">
        <is>
          <t>pro</t>
        </is>
      </c>
      <c r="I8" s="27">
        <f>B8*(C8*(E8*INDEX(Premissas!$B$11:$B$12,MATCH(H8,Premissas!$A$11:$A$12,0))+(1-E8)*INDEX(Premissas!$C$11:$C$12,MATCH(H8,Premissas!$A$11:$A$12,0)))+D8*INDEX(Premissas!$D$11:$D$12,MATCH(H8,Premissas!$A$11:$A$12,0)))/1000000*fator_pico*cambio</f>
        <v/>
      </c>
      <c r="J8" s="4" t="inlineStr">
        <is>
          <t>flash</t>
        </is>
      </c>
      <c r="K8" s="27">
        <f>B8*(C8*(E8*INDEX(Premissas!$B$11:$B$12,MATCH(J8,Premissas!$A$11:$A$12,0))+(1-E8)*INDEX(Premissas!$C$11:$C$12,MATCH(J8,Premissas!$A$11:$A$12,0)))+D8*INDEX(Premissas!$D$11:$D$12,MATCH(J8,Premissas!$A$11:$A$12,0)))/1000000*fator_pico*cambio</f>
        <v/>
      </c>
    </row>
    <row r="9">
      <c r="A9" s="22">
        <f>Premissas!A32</f>
        <v/>
      </c>
      <c r="B9" s="23">
        <f>Premissas!B32</f>
        <v/>
      </c>
      <c r="C9" s="24">
        <f>Premissas!C32</f>
        <v/>
      </c>
      <c r="D9" s="24">
        <f>Premissas!D32</f>
        <v/>
      </c>
      <c r="E9" s="25">
        <f>Premissas!E32</f>
        <v/>
      </c>
      <c r="F9" s="26" t="inlineStr">
        <is>
          <t>pro</t>
        </is>
      </c>
      <c r="G9" s="27">
        <f>B9*(C9*(E9*INDEX(Premissas!$B$11:$B$12,MATCH(F9,Premissas!$A$11:$A$12,0))+(1-E9)*INDEX(Premissas!$C$11:$C$12,MATCH(F9,Premissas!$A$11:$A$12,0)))+D9*INDEX(Premissas!$D$11:$D$12,MATCH(F9,Premissas!$A$11:$A$12,0)))/1000000*fator_pico*cambio</f>
        <v/>
      </c>
      <c r="H9" s="26" t="inlineStr">
        <is>
          <t>flash</t>
        </is>
      </c>
      <c r="I9" s="27">
        <f>B9*(C9*(E9*INDEX(Premissas!$B$11:$B$12,MATCH(H9,Premissas!$A$11:$A$12,0))+(1-E9)*INDEX(Premissas!$C$11:$C$12,MATCH(H9,Premissas!$A$11:$A$12,0)))+D9*INDEX(Premissas!$D$11:$D$12,MATCH(H9,Premissas!$A$11:$A$12,0)))/1000000*fator_pico*cambio</f>
        <v/>
      </c>
      <c r="J9" s="4" t="inlineStr">
        <is>
          <t>flash</t>
        </is>
      </c>
      <c r="K9" s="27">
        <f>B9*(C9*(E9*INDEX(Premissas!$B$11:$B$12,MATCH(J9,Premissas!$A$11:$A$12,0))+(1-E9)*INDEX(Premissas!$C$11:$C$12,MATCH(J9,Premissas!$A$11:$A$12,0)))+D9*INDEX(Premissas!$D$11:$D$12,MATCH(J9,Premissas!$A$11:$A$12,0)))/1000000*fator_pico*cambio</f>
        <v/>
      </c>
    </row>
    <row r="10">
      <c r="A10" s="28" t="inlineStr">
        <is>
          <t>Custo por geração completa</t>
        </is>
      </c>
      <c r="G10" s="29">
        <f>SUM(G5:G9)</f>
        <v/>
      </c>
      <c r="I10" s="29">
        <f>SUM(I5:I9)</f>
        <v/>
      </c>
      <c r="K10" s="29">
        <f>SUM(K5:K9)</f>
        <v/>
      </c>
    </row>
    <row r="12">
      <c r="A12" s="4" t="inlineStr">
        <is>
          <t>Redução do custo com as alavancas</t>
        </is>
      </c>
      <c r="G12" s="30">
        <f>1-I10/G10</f>
        <v/>
      </c>
    </row>
    <row r="13">
      <c r="A13" s="4" t="inlineStr">
        <is>
          <t>Redução com Flash em tudo</t>
        </is>
      </c>
      <c r="G13" s="31">
        <f>1-K10/G10</f>
        <v/>
      </c>
    </row>
    <row r="15">
      <c r="A15" s="3" t="inlineStr">
        <is>
          <t>Onboarding (Pro)</t>
        </is>
      </c>
      <c r="B15" s="3" t="inlineStr">
        <is>
          <t>Chamadas</t>
        </is>
      </c>
      <c r="C15" s="3" t="inlineStr">
        <is>
          <t>Tokens de entrada</t>
        </is>
      </c>
      <c r="D15" s="3" t="inlineStr">
        <is>
          <t>Tokens de saída</t>
        </is>
      </c>
      <c r="E15" s="3" t="inlineStr">
        <is>
          <t>% cache</t>
        </is>
      </c>
      <c r="F15" s="3" t="inlineStr">
        <is>
          <t>Modelo</t>
        </is>
      </c>
      <c r="G15" s="3" t="inlineStr">
        <is>
          <t>Custo (R$)</t>
        </is>
      </c>
    </row>
    <row r="16">
      <c r="A16" s="22">
        <f>Premissas!A35</f>
        <v/>
      </c>
      <c r="B16" s="23">
        <f>Premissas!B35</f>
        <v/>
      </c>
      <c r="C16" s="24">
        <f>Premissas!C35</f>
        <v/>
      </c>
      <c r="D16" s="24">
        <f>Premissas!D35</f>
        <v/>
      </c>
      <c r="E16" s="25">
        <f>Premissas!E35</f>
        <v/>
      </c>
      <c r="F16" s="4" t="inlineStr">
        <is>
          <t>pro</t>
        </is>
      </c>
      <c r="G16" s="27">
        <f>B16*(C16*(E16*INDEX(Premissas!$B$11:$B$12,MATCH(F16,Premissas!$A$11:$A$12,0))+(1-E16)*INDEX(Premissas!$C$11:$C$12,MATCH(F16,Premissas!$A$11:$A$12,0)))+D16*INDEX(Premissas!$D$11:$D$12,MATCH(F16,Premissas!$A$11:$A$12,0)))/1000000*fator_pico*cambio</f>
        <v/>
      </c>
    </row>
    <row r="17">
      <c r="A17" s="22">
        <f>Premissas!A36</f>
        <v/>
      </c>
      <c r="B17" s="23">
        <f>Premissas!B36</f>
        <v/>
      </c>
      <c r="C17" s="24">
        <f>Premissas!C36</f>
        <v/>
      </c>
      <c r="D17" s="24">
        <f>Premissas!D36</f>
        <v/>
      </c>
      <c r="E17" s="25">
        <f>Premissas!E36</f>
        <v/>
      </c>
      <c r="F17" s="4" t="inlineStr">
        <is>
          <t>pro</t>
        </is>
      </c>
      <c r="G17" s="27">
        <f>B17*(C17*(E17*INDEX(Premissas!$B$11:$B$12,MATCH(F17,Premissas!$A$11:$A$12,0))+(1-E17)*INDEX(Premissas!$C$11:$C$12,MATCH(F17,Premissas!$A$11:$A$12,0)))+D17*INDEX(Premissas!$D$11:$D$12,MATCH(F17,Premissas!$A$11:$A$12,0)))/1000000*fator_pico*cambio</f>
        <v/>
      </c>
    </row>
    <row r="18">
      <c r="A18" s="22">
        <f>Premissas!A37</f>
        <v/>
      </c>
      <c r="B18" s="23">
        <f>Premissas!B37</f>
        <v/>
      </c>
      <c r="C18" s="24">
        <f>Premissas!C37</f>
        <v/>
      </c>
      <c r="D18" s="24">
        <f>Premissas!D37</f>
        <v/>
      </c>
      <c r="E18" s="25">
        <f>Premissas!E37</f>
        <v/>
      </c>
      <c r="F18" s="4" t="inlineStr">
        <is>
          <t>pro</t>
        </is>
      </c>
      <c r="G18" s="27">
        <f>B18*(C18*(E18*INDEX(Premissas!$B$11:$B$12,MATCH(F18,Premissas!$A$11:$A$12,0))+(1-E18)*INDEX(Premissas!$C$11:$C$12,MATCH(F18,Premissas!$A$11:$A$12,0)))+D18*INDEX(Premissas!$D$11:$D$12,MATCH(F18,Premissas!$A$11:$A$12,0)))/1000000*fator_pico*cambio</f>
        <v/>
      </c>
    </row>
    <row r="19">
      <c r="A19" s="28" t="inlineStr">
        <is>
          <t>Onboarding por assinante (uma vez)</t>
        </is>
      </c>
      <c r="G19" s="29">
        <f>SUM(G16:G18)</f>
        <v/>
      </c>
    </row>
  </sheetData>
  <mergeCells count="1">
    <mergeCell ref="A2:K2"/>
  </mergeCells>
  <dataValidations count="1">
    <dataValidation sqref="F5 F6 F7 F8 F9 H5 H6 H7 H8 H9" showDropDown="0" showInputMessage="0" showErrorMessage="0" allowBlank="0" type="list">
      <formula1>"pro,flash"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8" customWidth="1" min="4" max="4"/>
    <col width="16" customWidth="1" min="5" max="5"/>
    <col width="14" customWidth="1" min="6" max="6"/>
    <col width="18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Cenários de uso por assinante (margem recorrente, sem onboarding)</t>
        </is>
      </c>
    </row>
    <row r="2" ht="30" customHeight="1">
      <c r="A2" s="2" t="inlineStr">
        <is>
          <t>Margem = receita - custo de IA - taxa de pagamento - infraestrutura rateada. Onboarding aparece na coluna do primeiro mês. Gerações por mês são entradas (azuis).</t>
        </is>
      </c>
    </row>
    <row r="4" ht="44" customHeight="1">
      <c r="A4" s="3" t="inlineStr">
        <is>
          <t>Perfil mensal (plano mensal)</t>
        </is>
      </c>
      <c r="B4" s="3" t="inlineStr">
        <is>
          <t>Gerações por mês</t>
        </is>
      </c>
      <c r="C4" s="3" t="inlineStr">
        <is>
          <t>Custo de IA hoje (R$)</t>
        </is>
      </c>
      <c r="D4" s="3" t="inlineStr">
        <is>
          <t>Custo de IA com alavancas (R$)</t>
        </is>
      </c>
      <c r="E4" s="3" t="inlineStr">
        <is>
          <t>Taxa de pagamento (R$)</t>
        </is>
      </c>
      <c r="F4" s="3" t="inlineStr">
        <is>
          <t>Infra rateada (R$)</t>
        </is>
      </c>
      <c r="G4" s="3" t="inlineStr">
        <is>
          <t>Margem com alavancas (R$)</t>
        </is>
      </c>
      <c r="H4" s="3" t="inlineStr">
        <is>
          <t>Margem com alavancas (%)</t>
        </is>
      </c>
      <c r="I4" s="3" t="inlineStr">
        <is>
          <t>Margem hoje (%)</t>
        </is>
      </c>
      <c r="J4" s="3" t="inlineStr">
        <is>
          <t>Margem no 1º mês com alavancas (R$)</t>
        </is>
      </c>
    </row>
    <row r="5">
      <c r="A5" s="4" t="inlineStr">
        <is>
          <t>Leve</t>
        </is>
      </c>
      <c r="B5" s="32" t="n">
        <v>10</v>
      </c>
      <c r="C5" s="33">
        <f>B5*custo_ger_hoje</f>
        <v/>
      </c>
      <c r="D5" s="33">
        <f>B5*custo_ger_alav</f>
        <v/>
      </c>
      <c r="E5" s="33">
        <f>preco_mensal*taxa_pct+taxa_fixa</f>
        <v/>
      </c>
      <c r="F5" s="33">
        <f>infra_mes/assinantes</f>
        <v/>
      </c>
      <c r="G5" s="33">
        <f>preco_mensal-D5-E5-F5</f>
        <v/>
      </c>
      <c r="H5" s="30">
        <f>IF(preco_mensal=0,0,G5/preco_mensal)</f>
        <v/>
      </c>
      <c r="I5" s="31">
        <f>IF(preco_mensal=0,0,(preco_mensal-C5-E5-F5)/preco_mensal)</f>
        <v/>
      </c>
      <c r="J5" s="33">
        <f>G5-onboarding</f>
        <v/>
      </c>
    </row>
    <row r="6">
      <c r="A6" s="4" t="inlineStr">
        <is>
          <t>Típico</t>
        </is>
      </c>
      <c r="B6" s="32" t="n">
        <v>30</v>
      </c>
      <c r="C6" s="33">
        <f>B6*custo_ger_hoje</f>
        <v/>
      </c>
      <c r="D6" s="33">
        <f>B6*custo_ger_alav</f>
        <v/>
      </c>
      <c r="E6" s="33">
        <f>preco_mensal*taxa_pct+taxa_fixa</f>
        <v/>
      </c>
      <c r="F6" s="33">
        <f>infra_mes/assinantes</f>
        <v/>
      </c>
      <c r="G6" s="33">
        <f>preco_mensal-D6-E6-F6</f>
        <v/>
      </c>
      <c r="H6" s="30">
        <f>IF(preco_mensal=0,0,G6/preco_mensal)</f>
        <v/>
      </c>
      <c r="I6" s="31">
        <f>IF(preco_mensal=0,0,(preco_mensal-C6-E6-F6)/preco_mensal)</f>
        <v/>
      </c>
      <c r="J6" s="33">
        <f>G6-onboarding</f>
        <v/>
      </c>
    </row>
    <row r="7">
      <c r="A7" s="4" t="inlineStr">
        <is>
          <t>No teto</t>
        </is>
      </c>
      <c r="B7" s="34">
        <f>teto_mensal</f>
        <v/>
      </c>
      <c r="C7" s="33">
        <f>B7*custo_ger_hoje</f>
        <v/>
      </c>
      <c r="D7" s="33">
        <f>B7*custo_ger_alav</f>
        <v/>
      </c>
      <c r="E7" s="33">
        <f>preco_mensal*taxa_pct+taxa_fixa</f>
        <v/>
      </c>
      <c r="F7" s="33">
        <f>infra_mes/assinantes</f>
        <v/>
      </c>
      <c r="G7" s="33">
        <f>preco_mensal-D7-E7-F7</f>
        <v/>
      </c>
      <c r="H7" s="30">
        <f>IF(preco_mensal=0,0,G7/preco_mensal)</f>
        <v/>
      </c>
      <c r="I7" s="31">
        <f>IF(preco_mensal=0,0,(preco_mensal-C7-E7-F7)/preco_mensal)</f>
        <v/>
      </c>
      <c r="J7" s="33">
        <f>G7-onboarding</f>
        <v/>
      </c>
    </row>
    <row r="8">
      <c r="A8" s="4" t="inlineStr">
        <is>
          <t>Pesado sem teto</t>
        </is>
      </c>
      <c r="B8" s="32" t="n">
        <v>150</v>
      </c>
      <c r="C8" s="33">
        <f>B8*custo_ger_hoje</f>
        <v/>
      </c>
      <c r="D8" s="33">
        <f>B8*custo_ger_alav</f>
        <v/>
      </c>
      <c r="E8" s="33">
        <f>preco_mensal*taxa_pct+taxa_fixa</f>
        <v/>
      </c>
      <c r="F8" s="33">
        <f>infra_mes/assinantes</f>
        <v/>
      </c>
      <c r="G8" s="33">
        <f>preco_mensal-D8-E8-F8</f>
        <v/>
      </c>
      <c r="H8" s="30">
        <f>IF(preco_mensal=0,0,G8/preco_mensal)</f>
        <v/>
      </c>
      <c r="I8" s="31">
        <f>IF(preco_mensal=0,0,(preco_mensal-C8-E8-F8)/preco_mensal)</f>
        <v/>
      </c>
      <c r="J8" s="33">
        <f>G8-onboarding</f>
        <v/>
      </c>
    </row>
    <row r="9">
      <c r="A9" s="4" t="inlineStr">
        <is>
          <t>Extremo sem teto</t>
        </is>
      </c>
      <c r="B9" s="32" t="n">
        <v>250</v>
      </c>
      <c r="C9" s="33">
        <f>B9*custo_ger_hoje</f>
        <v/>
      </c>
      <c r="D9" s="33">
        <f>B9*custo_ger_alav</f>
        <v/>
      </c>
      <c r="E9" s="33">
        <f>preco_mensal*taxa_pct+taxa_fixa</f>
        <v/>
      </c>
      <c r="F9" s="33">
        <f>infra_mes/assinantes</f>
        <v/>
      </c>
      <c r="G9" s="33">
        <f>preco_mensal-D9-E9-F9</f>
        <v/>
      </c>
      <c r="H9" s="30">
        <f>IF(preco_mensal=0,0,G9/preco_mensal)</f>
        <v/>
      </c>
      <c r="I9" s="31">
        <f>IF(preco_mensal=0,0,(preco_mensal-C9-E9-F9)/preco_mensal)</f>
        <v/>
      </c>
      <c r="J9" s="33">
        <f>G9-onboarding</f>
        <v/>
      </c>
    </row>
    <row r="12" ht="44" customHeight="1">
      <c r="A12" s="3" t="inlineStr">
        <is>
          <t>Perfil semanal (plano semanal)</t>
        </is>
      </c>
      <c r="B12" s="3" t="inlineStr">
        <is>
          <t>Gerações por semana</t>
        </is>
      </c>
      <c r="C12" s="3" t="inlineStr">
        <is>
          <t>Custo de IA hoje (R$)</t>
        </is>
      </c>
      <c r="D12" s="3" t="inlineStr">
        <is>
          <t>Custo de IA com alavancas (R$)</t>
        </is>
      </c>
      <c r="E12" s="3" t="inlineStr">
        <is>
          <t>Taxa de pagamento (R$)</t>
        </is>
      </c>
      <c r="F12" s="3" t="inlineStr">
        <is>
          <t>Infra rateada (R$)</t>
        </is>
      </c>
      <c r="G12" s="3" t="inlineStr">
        <is>
          <t>Margem com alavancas (R$)</t>
        </is>
      </c>
      <c r="H12" s="3" t="inlineStr">
        <is>
          <t>Margem com alavancas (%)</t>
        </is>
      </c>
      <c r="I12" s="3" t="inlineStr">
        <is>
          <t>Margem hoje (%)</t>
        </is>
      </c>
      <c r="J12" s="3" t="inlineStr">
        <is>
          <t>Margem na 1ª semana com alavancas (R$)</t>
        </is>
      </c>
    </row>
    <row r="13">
      <c r="A13" s="4" t="inlineStr">
        <is>
          <t>Leve</t>
        </is>
      </c>
      <c r="B13" s="32" t="n">
        <v>4</v>
      </c>
      <c r="C13" s="33">
        <f>B13*custo_ger_hoje</f>
        <v/>
      </c>
      <c r="D13" s="33">
        <f>B13*custo_ger_alav</f>
        <v/>
      </c>
      <c r="E13" s="33">
        <f>preco_semanal*taxa_pct+taxa_fixa</f>
        <v/>
      </c>
      <c r="F13" s="33">
        <f>infra_mes/assinantes/sem_mes</f>
        <v/>
      </c>
      <c r="G13" s="33">
        <f>preco_semanal-D13-E13-F13</f>
        <v/>
      </c>
      <c r="H13" s="30">
        <f>IF(preco_semanal=0,0,G13/preco_semanal)</f>
        <v/>
      </c>
      <c r="I13" s="31">
        <f>IF(preco_semanal=0,0,(preco_semanal-C13-E13-F13)/preco_semanal)</f>
        <v/>
      </c>
      <c r="J13" s="33">
        <f>G13-onboarding</f>
        <v/>
      </c>
    </row>
    <row r="14">
      <c r="A14" s="4" t="inlineStr">
        <is>
          <t>Típico</t>
        </is>
      </c>
      <c r="B14" s="32" t="n">
        <v>8</v>
      </c>
      <c r="C14" s="33">
        <f>B14*custo_ger_hoje</f>
        <v/>
      </c>
      <c r="D14" s="33">
        <f>B14*custo_ger_alav</f>
        <v/>
      </c>
      <c r="E14" s="33">
        <f>preco_semanal*taxa_pct+taxa_fixa</f>
        <v/>
      </c>
      <c r="F14" s="33">
        <f>infra_mes/assinantes/sem_mes</f>
        <v/>
      </c>
      <c r="G14" s="33">
        <f>preco_semanal-D14-E14-F14</f>
        <v/>
      </c>
      <c r="H14" s="30">
        <f>IF(preco_semanal=0,0,G14/preco_semanal)</f>
        <v/>
      </c>
      <c r="I14" s="31">
        <f>IF(preco_semanal=0,0,(preco_semanal-C14-E14-F14)/preco_semanal)</f>
        <v/>
      </c>
      <c r="J14" s="33">
        <f>G14-onboarding</f>
        <v/>
      </c>
    </row>
    <row r="15">
      <c r="A15" s="4" t="inlineStr">
        <is>
          <t>No teto</t>
        </is>
      </c>
      <c r="B15" s="34">
        <f>teto_semanal</f>
        <v/>
      </c>
      <c r="C15" s="33">
        <f>B15*custo_ger_hoje</f>
        <v/>
      </c>
      <c r="D15" s="33">
        <f>B15*custo_ger_alav</f>
        <v/>
      </c>
      <c r="E15" s="33">
        <f>preco_semanal*taxa_pct+taxa_fixa</f>
        <v/>
      </c>
      <c r="F15" s="33">
        <f>infra_mes/assinantes/sem_mes</f>
        <v/>
      </c>
      <c r="G15" s="33">
        <f>preco_semanal-D15-E15-F15</f>
        <v/>
      </c>
      <c r="H15" s="30">
        <f>IF(preco_semanal=0,0,G15/preco_semanal)</f>
        <v/>
      </c>
      <c r="I15" s="31">
        <f>IF(preco_semanal=0,0,(preco_semanal-C15-E15-F15)/preco_semanal)</f>
        <v/>
      </c>
      <c r="J15" s="33">
        <f>G15-onboarding</f>
        <v/>
      </c>
    </row>
    <row r="17">
      <c r="A17" s="28" t="inlineStr">
        <is>
          <t>Gerações por mês em que o plano mensal empata (margem zero, com alavancas)</t>
        </is>
      </c>
      <c r="B17" s="35">
        <f>ROUNDDOWN((preco_mensal-E5-F5)/custo_ger_alav,0)</f>
        <v/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24" customWidth="1" min="4" max="4"/>
    <col width="24" customWidth="1" min="5" max="5"/>
  </cols>
  <sheetData>
    <row r="1">
      <c r="A1" s="1" t="inlineStr">
        <is>
          <t>Teto de uso que sustenta uma margem alvo</t>
        </is>
      </c>
    </row>
    <row r="2" ht="30" customHeight="1">
      <c r="A2" s="2" t="inlineStr">
        <is>
          <t>teto = (preço x (1 - margem alvo) - taxa - infra rateada - onboarding amortizado) / custo por geração. Onboarding amortizado = onboarding / vida média. Para o semanal, o teto é por semana.</t>
        </is>
      </c>
    </row>
    <row r="4" ht="44" customHeight="1">
      <c r="A4" s="3" t="inlineStr">
        <is>
          <t>Margem alvo</t>
        </is>
      </c>
      <c r="B4" s="3" t="inlineStr">
        <is>
          <t>Mensal: gerações/mês (alavancas)</t>
        </is>
      </c>
      <c r="C4" s="3" t="inlineStr">
        <is>
          <t>Mensal: gerações/mês (hoje)</t>
        </is>
      </c>
      <c r="D4" s="3" t="inlineStr">
        <is>
          <t>Semanal: gerações/semana (alavancas)</t>
        </is>
      </c>
      <c r="E4" s="3" t="inlineStr">
        <is>
          <t>Semanal: gerações/semana (hoje)</t>
        </is>
      </c>
    </row>
    <row r="5">
      <c r="A5" s="36" t="n">
        <v>0</v>
      </c>
      <c r="B5" s="34">
        <f>MAX(0,ROUNDDOWN((preco_mensal*(1-$A5)-(taxa_fixa+preco_mensal*taxa_pct)+infra_mes/assinantes+onboarding/vida_meses)/custo_ger_alav,0))</f>
        <v/>
      </c>
      <c r="C5" s="34">
        <f>MAX(0,ROUNDDOWN((preco_mensal*(1-$A5)-(taxa_fixa+preco_mensal*taxa_pct)+infra_mes/assinantes+onboarding/vida_meses)/custo_ger_hoje,0))</f>
        <v/>
      </c>
      <c r="D5" s="34">
        <f>MAX(0,ROUNDDOWN((preco_semanal*(1-$A5)-(taxa_fixa+preco_semanal*taxa_pct)+infra_mes/assinantes/sem_mes+onboarding/(vida_meses*sem_mes))/custo_ger_alav,0))</f>
        <v/>
      </c>
      <c r="E5" s="34">
        <f>MAX(0,ROUNDDOWN((preco_semanal*(1-$A5)-(taxa_fixa+preco_semanal*taxa_pct)+infra_mes/assinantes/sem_mes+onboarding/(vida_meses*sem_mes))/custo_ger_hoje,0))</f>
        <v/>
      </c>
    </row>
    <row r="6">
      <c r="A6" s="36" t="n">
        <v>0.2</v>
      </c>
      <c r="B6" s="34">
        <f>MAX(0,ROUNDDOWN((preco_mensal*(1-$A6)-(taxa_fixa+preco_mensal*taxa_pct)+infra_mes/assinantes+onboarding/vida_meses)/custo_ger_alav,0))</f>
        <v/>
      </c>
      <c r="C6" s="34">
        <f>MAX(0,ROUNDDOWN((preco_mensal*(1-$A6)-(taxa_fixa+preco_mensal*taxa_pct)+infra_mes/assinantes+onboarding/vida_meses)/custo_ger_hoje,0))</f>
        <v/>
      </c>
      <c r="D6" s="34">
        <f>MAX(0,ROUNDDOWN((preco_semanal*(1-$A6)-(taxa_fixa+preco_semanal*taxa_pct)+infra_mes/assinantes/sem_mes+onboarding/(vida_meses*sem_mes))/custo_ger_alav,0))</f>
        <v/>
      </c>
      <c r="E6" s="34">
        <f>MAX(0,ROUNDDOWN((preco_semanal*(1-$A6)-(taxa_fixa+preco_semanal*taxa_pct)+infra_mes/assinantes/sem_mes+onboarding/(vida_meses*sem_mes))/custo_ger_hoje,0))</f>
        <v/>
      </c>
    </row>
    <row r="7">
      <c r="A7" s="36" t="n">
        <v>0.3</v>
      </c>
      <c r="B7" s="34">
        <f>MAX(0,ROUNDDOWN((preco_mensal*(1-$A7)-(taxa_fixa+preco_mensal*taxa_pct)+infra_mes/assinantes+onboarding/vida_meses)/custo_ger_alav,0))</f>
        <v/>
      </c>
      <c r="C7" s="34">
        <f>MAX(0,ROUNDDOWN((preco_mensal*(1-$A7)-(taxa_fixa+preco_mensal*taxa_pct)+infra_mes/assinantes+onboarding/vida_meses)/custo_ger_hoje,0))</f>
        <v/>
      </c>
      <c r="D7" s="34">
        <f>MAX(0,ROUNDDOWN((preco_semanal*(1-$A7)-(taxa_fixa+preco_semanal*taxa_pct)+infra_mes/assinantes/sem_mes+onboarding/(vida_meses*sem_mes))/custo_ger_alav,0))</f>
        <v/>
      </c>
      <c r="E7" s="34">
        <f>MAX(0,ROUNDDOWN((preco_semanal*(1-$A7)-(taxa_fixa+preco_semanal*taxa_pct)+infra_mes/assinantes/sem_mes+onboarding/(vida_meses*sem_mes))/custo_ger_hoje,0))</f>
        <v/>
      </c>
    </row>
    <row r="8">
      <c r="A8" s="36" t="n">
        <v>0.4</v>
      </c>
      <c r="B8" s="35">
        <f>MAX(0,ROUNDDOWN((preco_mensal*(1-$A8)-(taxa_fixa+preco_mensal*taxa_pct)+infra_mes/assinantes+onboarding/vida_meses)/custo_ger_alav,0))</f>
        <v/>
      </c>
      <c r="C8" s="35">
        <f>MAX(0,ROUNDDOWN((preco_mensal*(1-$A8)-(taxa_fixa+preco_mensal*taxa_pct)+infra_mes/assinantes+onboarding/vida_meses)/custo_ger_hoje,0))</f>
        <v/>
      </c>
      <c r="D8" s="35">
        <f>MAX(0,ROUNDDOWN((preco_semanal*(1-$A8)-(taxa_fixa+preco_semanal*taxa_pct)+infra_mes/assinantes/sem_mes+onboarding/(vida_meses*sem_mes))/custo_ger_alav,0))</f>
        <v/>
      </c>
      <c r="E8" s="35">
        <f>MAX(0,ROUNDDOWN((preco_semanal*(1-$A8)-(taxa_fixa+preco_semanal*taxa_pct)+infra_mes/assinantes/sem_mes+onboarding/(vida_meses*sem_mes))/custo_ger_hoje,0))</f>
        <v/>
      </c>
    </row>
    <row r="9">
      <c r="A9" s="36" t="n">
        <v>0.5</v>
      </c>
      <c r="B9" s="34">
        <f>MAX(0,ROUNDDOWN((preco_mensal*(1-$A9)-(taxa_fixa+preco_mensal*taxa_pct)+infra_mes/assinantes+onboarding/vida_meses)/custo_ger_alav,0))</f>
        <v/>
      </c>
      <c r="C9" s="34">
        <f>MAX(0,ROUNDDOWN((preco_mensal*(1-$A9)-(taxa_fixa+preco_mensal*taxa_pct)+infra_mes/assinantes+onboarding/vida_meses)/custo_ger_hoje,0))</f>
        <v/>
      </c>
      <c r="D9" s="34">
        <f>MAX(0,ROUNDDOWN((preco_semanal*(1-$A9)-(taxa_fixa+preco_semanal*taxa_pct)+infra_mes/assinantes/sem_mes+onboarding/(vida_meses*sem_mes))/custo_ger_alav,0))</f>
        <v/>
      </c>
      <c r="E9" s="34">
        <f>MAX(0,ROUNDDOWN((preco_semanal*(1-$A9)-(taxa_fixa+preco_semanal*taxa_pct)+infra_mes/assinantes/sem_mes+onboarding/(vida_meses*sem_mes))/custo_ger_hoje,0))</f>
        <v/>
      </c>
    </row>
    <row r="10">
      <c r="A10" s="36" t="n">
        <v>0.6</v>
      </c>
      <c r="B10" s="34">
        <f>MAX(0,ROUNDDOWN((preco_mensal*(1-$A10)-(taxa_fixa+preco_mensal*taxa_pct)+infra_mes/assinantes+onboarding/vida_meses)/custo_ger_alav,0))</f>
        <v/>
      </c>
      <c r="C10" s="34">
        <f>MAX(0,ROUNDDOWN((preco_mensal*(1-$A10)-(taxa_fixa+preco_mensal*taxa_pct)+infra_mes/assinantes+onboarding/vida_meses)/custo_ger_hoje,0))</f>
        <v/>
      </c>
      <c r="D10" s="34">
        <f>MAX(0,ROUNDDOWN((preco_semanal*(1-$A10)-(taxa_fixa+preco_semanal*taxa_pct)+infra_mes/assinantes/sem_mes+onboarding/(vida_meses*sem_mes))/custo_ger_alav,0))</f>
        <v/>
      </c>
      <c r="E10" s="34">
        <f>MAX(0,ROUNDDOWN((preco_semanal*(1-$A10)-(taxa_fixa+preco_semanal*taxa_pct)+infra_mes/assinantes/sem_mes+onboarding/(vida_meses*sem_mes))/custo_ger_hoje,0))</f>
        <v/>
      </c>
    </row>
    <row r="12">
      <c r="A12" s="28" t="inlineStr">
        <is>
          <t>Teto adotado no config.yaml (mensal / semanal)</t>
        </is>
      </c>
      <c r="B12" s="35">
        <f>teto_mensal</f>
        <v/>
      </c>
      <c r="D12" s="35">
        <f>teto_semanal</f>
        <v/>
      </c>
    </row>
    <row r="13">
      <c r="A13" s="4" t="inlineStr">
        <is>
          <t>Teto na margem alvo escolhida (alavancas)</t>
        </is>
      </c>
      <c r="B13" s="35">
        <f>MAX(0,ROUNDDOWN((preco_mensal*(1-margem_alvo)-(taxa_fixa+preco_mensal*taxa_pct)-infra_mes/assinantes-onboarding/vida_meses)/custo_ger_alav,0))</f>
        <v/>
      </c>
      <c r="D13" s="35">
        <f>MAX(0,ROUNDDOWN((preco_semanal*(1-margem_alvo)-(taxa_fixa+preco_semanal*taxa_pct)-infra_mes/assinantes/sem_mes-onboarding/(vida_meses*sem_mes))/custo_ger_alav,0))</f>
        <v/>
      </c>
    </row>
    <row r="14">
      <c r="A14" s="4" t="inlineStr">
        <is>
          <t>Folga do teto adotado em relação ao teto da margem alvo (positivo = há espaço para subir o teto)</t>
        </is>
      </c>
      <c r="B14" s="34">
        <f>B13-B12</f>
        <v/>
      </c>
      <c r="D14" s="34">
        <f>D13-D12</f>
        <v/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24" customWidth="1" min="3" max="3"/>
    <col width="26" customWidth="1" min="4" max="4"/>
    <col width="30" customWidth="1" min="5" max="5"/>
  </cols>
  <sheetData>
    <row r="1">
      <c r="A1" s="1" t="inlineStr">
        <is>
          <t>Regeneração, modelo e custo por currículo entregue</t>
        </is>
      </c>
    </row>
    <row r="2" ht="36" customHeight="1">
      <c r="A2" s="2" t="inlineStr">
        <is>
          <t>Custo por currículo entregue = custo por geração x (1 + taxa de regeneração). As taxas são hipóteses: o eval e o log de uso as medem. O ponto de virada mostra quanto o Flash em tudo poderia regenerar antes de custar mais que as alavancas.</t>
        </is>
      </c>
    </row>
    <row r="4" ht="44" customHeight="1">
      <c r="A4" s="3" t="inlineStr">
        <is>
          <t>Configuração</t>
        </is>
      </c>
      <c r="B4" s="3" t="inlineStr">
        <is>
          <t>Custo por geração (R$)</t>
        </is>
      </c>
      <c r="C4" s="3" t="inlineStr">
        <is>
          <t>Taxa de regeneração (hipótese)</t>
        </is>
      </c>
      <c r="D4" s="3" t="inlineStr">
        <is>
          <t>Custo por currículo entregue (R$)</t>
        </is>
      </c>
      <c r="E4" s="3" t="inlineStr">
        <is>
          <t>Gerações do teto mensal que viram currículos entregues</t>
        </is>
      </c>
    </row>
    <row r="5">
      <c r="A5" s="4" t="inlineStr">
        <is>
          <t>Tudo em Pro (hoje)</t>
        </is>
      </c>
      <c r="B5" s="27">
        <f>custo_ger_hoje</f>
        <v/>
      </c>
      <c r="C5" s="31">
        <f>regen_pro</f>
        <v/>
      </c>
      <c r="D5" s="29">
        <f>B5*(1+C5)</f>
        <v/>
      </c>
      <c r="E5" s="17">
        <f>teto_mensal/(1+C5)</f>
        <v/>
      </c>
    </row>
    <row r="6">
      <c r="A6" s="4" t="inlineStr">
        <is>
          <t>Com alavancas (Flash em etapas simples)</t>
        </is>
      </c>
      <c r="B6" s="27">
        <f>custo_ger_alav</f>
        <v/>
      </c>
      <c r="C6" s="31">
        <f>regen_alav</f>
        <v/>
      </c>
      <c r="D6" s="29">
        <f>B6*(1+C6)</f>
        <v/>
      </c>
      <c r="E6" s="17">
        <f>teto_mensal/(1+C6)</f>
        <v/>
      </c>
    </row>
    <row r="7">
      <c r="A7" s="4" t="inlineStr">
        <is>
          <t>Flash em tudo</t>
        </is>
      </c>
      <c r="B7" s="27">
        <f>custo_ger_flash</f>
        <v/>
      </c>
      <c r="C7" s="31">
        <f>regen_flash</f>
        <v/>
      </c>
      <c r="D7" s="29">
        <f>B7*(1+C7)</f>
        <v/>
      </c>
      <c r="E7" s="17">
        <f>teto_mensal/(1+C7)</f>
        <v/>
      </c>
    </row>
    <row r="9">
      <c r="A9" s="28" t="inlineStr">
        <is>
          <t>Ponto de virada: regeneração máxima do Flash em tudo para empatar com as alavancas</t>
        </is>
      </c>
      <c r="D9" s="30">
        <f>D6/B7-1</f>
        <v/>
      </c>
    </row>
    <row r="10">
      <c r="A10" s="4" t="inlineStr">
        <is>
          <t>Folga em relação à taxa hipotética do Flash em tudo (positivo = Flash em tudo ainda sai mais barato)</t>
        </is>
      </c>
      <c r="D10" s="31">
        <f>D9-C7</f>
        <v/>
      </c>
    </row>
    <row r="12" ht="32" customHeight="1">
      <c r="A12" s="3" t="inlineStr">
        <is>
          <t>Sensibilidade: taxa de regeneração</t>
        </is>
      </c>
      <c r="B12" s="3" t="inlineStr">
        <is>
          <t>Tudo em Pro (R$ por entregue)</t>
        </is>
      </c>
      <c r="C12" s="3" t="inlineStr">
        <is>
          <t>Alavancas (R$ por entregue)</t>
        </is>
      </c>
      <c r="D12" s="3" t="inlineStr">
        <is>
          <t>Flash em tudo (R$ por entregue)</t>
        </is>
      </c>
    </row>
    <row r="13">
      <c r="A13" s="36" t="n">
        <v>0</v>
      </c>
      <c r="B13" s="27">
        <f>custo_ger_hoje*(1+$A13)</f>
        <v/>
      </c>
      <c r="C13" s="27">
        <f>custo_ger_alav*(1+$A13)</f>
        <v/>
      </c>
      <c r="D13" s="27">
        <f>custo_ger_flash*(1+$A13)</f>
        <v/>
      </c>
    </row>
    <row r="14">
      <c r="A14" s="36" t="n">
        <v>0.25</v>
      </c>
      <c r="B14" s="27">
        <f>custo_ger_hoje*(1+$A14)</f>
        <v/>
      </c>
      <c r="C14" s="27">
        <f>custo_ger_alav*(1+$A14)</f>
        <v/>
      </c>
      <c r="D14" s="27">
        <f>custo_ger_flash*(1+$A14)</f>
        <v/>
      </c>
    </row>
    <row r="15">
      <c r="A15" s="36" t="n">
        <v>0.5</v>
      </c>
      <c r="B15" s="27">
        <f>custo_ger_hoje*(1+$A15)</f>
        <v/>
      </c>
      <c r="C15" s="27">
        <f>custo_ger_alav*(1+$A15)</f>
        <v/>
      </c>
      <c r="D15" s="27">
        <f>custo_ger_flash*(1+$A15)</f>
        <v/>
      </c>
    </row>
    <row r="16">
      <c r="A16" s="36" t="n">
        <v>1</v>
      </c>
      <c r="B16" s="27">
        <f>custo_ger_hoje*(1+$A16)</f>
        <v/>
      </c>
      <c r="C16" s="27">
        <f>custo_ger_alav*(1+$A16)</f>
        <v/>
      </c>
      <c r="D16" s="27">
        <f>custo_ger_flash*(1+$A16)</f>
        <v/>
      </c>
    </row>
    <row r="17">
      <c r="A17" s="36" t="n">
        <v>2</v>
      </c>
      <c r="B17" s="27">
        <f>custo_ger_hoje*(1+$A17)</f>
        <v/>
      </c>
      <c r="C17" s="27">
        <f>custo_ger_alav*(1+$A17)</f>
        <v/>
      </c>
      <c r="D17" s="27">
        <f>custo_ger_flash*(1+$A17)</f>
        <v/>
      </c>
    </row>
    <row r="18">
      <c r="A18" s="36" t="n">
        <v>3</v>
      </c>
      <c r="B18" s="27">
        <f>custo_ger_hoje*(1+$A18)</f>
        <v/>
      </c>
      <c r="C18" s="27">
        <f>custo_ger_alav*(1+$A18)</f>
        <v/>
      </c>
      <c r="D18" s="27">
        <f>custo_ger_flash*(1+$A18)</f>
        <v/>
      </c>
    </row>
    <row r="20" ht="44" customHeight="1">
      <c r="A20" s="4" t="inlineStr">
        <is>
          <t>Leitura: a regeneração multiplica o custo na mesma proporção em qualquer modelo. Por isso o limite de regerações por vaga (config.yaml: limites_uso.regeracoes_por_vaga) protege a margem tanto quanto a escolha do modelo.</t>
        </is>
      </c>
      <c r="B20" s="37" t="n"/>
      <c r="C20" s="37" t="n"/>
      <c r="D20" s="37" t="n"/>
      <c r="E20" s="38" t="n"/>
    </row>
  </sheetData>
  <mergeCells count="2">
    <mergeCell ref="A2:E2"/>
    <mergeCell ref="A20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2" customWidth="1" min="3" max="3"/>
    <col width="28" customWidth="1" min="4" max="4"/>
    <col width="28" customWidth="1" min="5" max="5"/>
  </cols>
  <sheetData>
    <row r="1">
      <c r="A1" s="1" t="inlineStr">
        <is>
          <t>Valor do assinante e espaço para aquisição (CAC fica como observação)</t>
        </is>
      </c>
    </row>
    <row r="2" ht="36" customHeight="1">
      <c r="A2" s="2" t="inlineStr">
        <is>
          <t>LTV = margem recorrente x meses ativos - onboarding. O CAC não entra no cálculo agora: preencha a célula amarela quando houver um canal, para ver o payback. Perfis vêm da aba Cenários de uso (típico e no teto), com alavancas.</t>
        </is>
      </c>
    </row>
    <row r="4" ht="44" customHeight="1">
      <c r="A4" s="3" t="inlineStr">
        <is>
          <t>Meses ativos</t>
        </is>
      </c>
      <c r="B4" s="3" t="inlineStr">
        <is>
          <t>LTV perfil típico (R$)</t>
        </is>
      </c>
      <c r="C4" s="3" t="inlineStr">
        <is>
          <t>LTV no teto (R$)</t>
        </is>
      </c>
      <c r="D4" s="3" t="inlineStr">
        <is>
          <t>CAC máximo para empatar, típico (R$)</t>
        </is>
      </c>
      <c r="E4" s="3" t="inlineStr">
        <is>
          <t>CAC máximo para empatar, no teto (R$)</t>
        </is>
      </c>
    </row>
    <row r="5">
      <c r="A5" s="32" t="n">
        <v>1</v>
      </c>
      <c r="B5" s="33">
        <f>'Cenários de uso'!$G$6*A5-onboarding</f>
        <v/>
      </c>
      <c r="C5" s="33">
        <f>'Cenários de uso'!$G$7*A5-onboarding</f>
        <v/>
      </c>
      <c r="D5" s="33">
        <f>MAX(0,B5)</f>
        <v/>
      </c>
      <c r="E5" s="33">
        <f>MAX(0,C5)</f>
        <v/>
      </c>
    </row>
    <row r="6">
      <c r="A6" s="32" t="n">
        <v>2</v>
      </c>
      <c r="B6" s="33">
        <f>'Cenários de uso'!$G$6*A6-onboarding</f>
        <v/>
      </c>
      <c r="C6" s="33">
        <f>'Cenários de uso'!$G$7*A6-onboarding</f>
        <v/>
      </c>
      <c r="D6" s="33">
        <f>MAX(0,B6)</f>
        <v/>
      </c>
      <c r="E6" s="33">
        <f>MAX(0,C6)</f>
        <v/>
      </c>
    </row>
    <row r="7">
      <c r="A7" s="32" t="n">
        <v>3</v>
      </c>
      <c r="B7" s="33">
        <f>'Cenários de uso'!$G$6*A7-onboarding</f>
        <v/>
      </c>
      <c r="C7" s="33">
        <f>'Cenários de uso'!$G$7*A7-onboarding</f>
        <v/>
      </c>
      <c r="D7" s="33">
        <f>MAX(0,B7)</f>
        <v/>
      </c>
      <c r="E7" s="33">
        <f>MAX(0,C7)</f>
        <v/>
      </c>
    </row>
    <row r="8">
      <c r="A8" s="32" t="n">
        <v>4</v>
      </c>
      <c r="B8" s="33">
        <f>'Cenários de uso'!$G$6*A8-onboarding</f>
        <v/>
      </c>
      <c r="C8" s="33">
        <f>'Cenários de uso'!$G$7*A8-onboarding</f>
        <v/>
      </c>
      <c r="D8" s="33">
        <f>MAX(0,B8)</f>
        <v/>
      </c>
      <c r="E8" s="33">
        <f>MAX(0,C8)</f>
        <v/>
      </c>
    </row>
    <row r="9">
      <c r="A9" s="32" t="n">
        <v>6</v>
      </c>
      <c r="B9" s="33">
        <f>'Cenários de uso'!$G$6*A9-onboarding</f>
        <v/>
      </c>
      <c r="C9" s="33">
        <f>'Cenários de uso'!$G$7*A9-onboarding</f>
        <v/>
      </c>
      <c r="D9" s="33">
        <f>MAX(0,B9)</f>
        <v/>
      </c>
      <c r="E9" s="33">
        <f>MAX(0,C9)</f>
        <v/>
      </c>
    </row>
    <row r="12">
      <c r="A12" s="28" t="inlineStr">
        <is>
          <t>LTV do plano semanal (semanas ativas)</t>
        </is>
      </c>
    </row>
    <row r="13" ht="32" customHeight="1">
      <c r="A13" s="3" t="inlineStr">
        <is>
          <t>Semanas ativas</t>
        </is>
      </c>
      <c r="B13" s="3" t="inlineStr">
        <is>
          <t>LTV perfil típico semanal (R$)</t>
        </is>
      </c>
      <c r="C13" s="3" t="inlineStr">
        <is>
          <t>LTV no teto semanal (R$)</t>
        </is>
      </c>
    </row>
    <row r="14">
      <c r="A14" s="32" t="n">
        <v>1</v>
      </c>
      <c r="B14" s="33">
        <f>'Cenários de uso'!$G$14*A14-onboarding</f>
        <v/>
      </c>
      <c r="C14" s="33">
        <f>'Cenários de uso'!$G$15*A14-onboarding</f>
        <v/>
      </c>
    </row>
    <row r="15">
      <c r="A15" s="32" t="n">
        <v>2</v>
      </c>
      <c r="B15" s="33">
        <f>'Cenários de uso'!$G$14*A15-onboarding</f>
        <v/>
      </c>
      <c r="C15" s="33">
        <f>'Cenários de uso'!$G$15*A15-onboarding</f>
        <v/>
      </c>
    </row>
    <row r="16">
      <c r="A16" s="32" t="n">
        <v>4</v>
      </c>
      <c r="B16" s="33">
        <f>'Cenários de uso'!$G$14*A16-onboarding</f>
        <v/>
      </c>
      <c r="C16" s="33">
        <f>'Cenários de uso'!$G$15*A16-onboarding</f>
        <v/>
      </c>
    </row>
    <row r="17">
      <c r="A17" s="32" t="n">
        <v>6</v>
      </c>
      <c r="B17" s="33">
        <f>'Cenários de uso'!$G$14*A17-onboarding</f>
        <v/>
      </c>
      <c r="C17" s="33">
        <f>'Cenários de uso'!$G$15*A17-onboarding</f>
        <v/>
      </c>
    </row>
    <row r="18">
      <c r="A18" s="32" t="n">
        <v>8</v>
      </c>
      <c r="B18" s="33">
        <f>'Cenários de uso'!$G$14*A18-onboarding</f>
        <v/>
      </c>
      <c r="C18" s="33">
        <f>'Cenários de uso'!$G$15*A18-onboarding</f>
        <v/>
      </c>
    </row>
    <row r="21">
      <c r="A21" s="3" t="inlineStr">
        <is>
          <t>Observação de CAC</t>
        </is>
      </c>
      <c r="B21" s="3" t="inlineStr">
        <is>
          <t>Valor</t>
        </is>
      </c>
    </row>
    <row r="22">
      <c r="A22" s="4" t="inlineStr">
        <is>
          <t>CAC observado por assinante (R$), preencher quando houver canal</t>
        </is>
      </c>
      <c r="B22" s="20" t="n"/>
    </row>
    <row r="23">
      <c r="A23" s="4" t="inlineStr">
        <is>
          <t>Payback em meses no plano mensal (perfil típico)</t>
        </is>
      </c>
      <c r="B23" s="17">
        <f>IF(B22="","preencher o CAC",IF('Cenários de uso'!G6&lt;=0,"margem não positiva",B22/'Cenários de uso'!G6))</f>
        <v/>
      </c>
    </row>
    <row r="24">
      <c r="A24" s="4" t="inlineStr">
        <is>
          <t>Meses ativos necessários para pagar o CAC e o onboarding (perfil típico)</t>
        </is>
      </c>
      <c r="B24" s="17">
        <f>IF(B22="","preencher o CAC",IF('Cenários de uso'!G6&lt;=0,"margem não positiva",(B22+onboarding)/'Cenários de uso'!G6))</f>
        <v/>
      </c>
    </row>
    <row r="25">
      <c r="A25" s="4" t="inlineStr">
        <is>
          <t>Vida média assumida (meses), para comparar</t>
        </is>
      </c>
      <c r="B25" s="17">
        <f>vida_meses</f>
        <v/>
      </c>
    </row>
    <row r="26">
      <c r="A26" s="28" t="inlineStr">
        <is>
          <t>LTV do perfil típico com a vida média assumida (R$)</t>
        </is>
      </c>
      <c r="B26" s="39">
        <f>'Cenários de uso'!G6*vida_meses-onboarding</f>
        <v/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2026-10-27T02:11:38Z</dcterms:created>
  <dcterms:modified xsi:type="dcterms:W3CDTF">2026-10-27T02:11:38Z</dcterms:modified>
</cp:coreProperties>
</file>